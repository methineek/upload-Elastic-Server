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hinee\task\SYE Team\SRE\"/>
    </mc:Choice>
  </mc:AlternateContent>
  <xr:revisionPtr revIDLastSave="0" documentId="8_{3E362168-B142-4688-89C3-6D290889B8F5}" xr6:coauthVersionLast="36" xr6:coauthVersionMax="36" xr10:uidLastSave="{00000000-0000-0000-0000-000000000000}"/>
  <bookViews>
    <workbookView xWindow="0" yWindow="0" windowWidth="19200" windowHeight="6930" xr2:uid="{BC05756C-DB30-4776-8CD1-1E6B94BE3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J21" i="1"/>
  <c r="J20" i="1"/>
  <c r="J19" i="1"/>
  <c r="J18" i="1"/>
  <c r="F109" i="1"/>
  <c r="F108" i="1"/>
  <c r="F100" i="1"/>
  <c r="F102" i="1" s="1"/>
  <c r="F103" i="1" s="1"/>
  <c r="F99" i="1"/>
  <c r="F90" i="1"/>
  <c r="F91" i="1"/>
  <c r="F82" i="1"/>
  <c r="F81" i="1"/>
  <c r="F84" i="1" s="1"/>
  <c r="F85" i="1" s="1"/>
  <c r="F111" i="1"/>
  <c r="F112" i="1" s="1"/>
  <c r="D107" i="1"/>
  <c r="D98" i="1"/>
  <c r="F93" i="1"/>
  <c r="F94" i="1" s="1"/>
  <c r="D89" i="1"/>
  <c r="D80" i="1"/>
  <c r="J17" i="1"/>
  <c r="J16" i="1"/>
  <c r="J15" i="1"/>
  <c r="J14" i="1"/>
  <c r="F73" i="1"/>
  <c r="F72" i="1"/>
  <c r="F64" i="1"/>
  <c r="F63" i="1"/>
  <c r="F55" i="1"/>
  <c r="F57" i="1" s="1"/>
  <c r="F58" i="1" s="1"/>
  <c r="F54" i="1"/>
  <c r="F46" i="1"/>
  <c r="F45" i="1"/>
  <c r="F75" i="1"/>
  <c r="F76" i="1" s="1"/>
  <c r="D71" i="1"/>
  <c r="D62" i="1"/>
  <c r="D53" i="1"/>
  <c r="F48" i="1"/>
  <c r="F49" i="1" s="1"/>
  <c r="D44" i="1"/>
  <c r="J13" i="1"/>
  <c r="J12" i="1"/>
  <c r="J11" i="1"/>
  <c r="J10" i="1"/>
  <c r="F37" i="1"/>
  <c r="F39" i="1" s="1"/>
  <c r="F40" i="1" s="1"/>
  <c r="F36" i="1"/>
  <c r="D35" i="1"/>
  <c r="F28" i="1"/>
  <c r="F27" i="1"/>
  <c r="F30" i="1"/>
  <c r="F31" i="1" s="1"/>
  <c r="D26" i="1"/>
  <c r="F19" i="1"/>
  <c r="F21" i="1" s="1"/>
  <c r="F18" i="1"/>
  <c r="D8" i="1"/>
  <c r="D17" i="1"/>
  <c r="F12" i="1"/>
  <c r="F13" i="1"/>
  <c r="F10" i="1"/>
  <c r="F2" i="1"/>
  <c r="D2" i="1"/>
  <c r="F66" i="1" l="1"/>
  <c r="F67" i="1" s="1"/>
  <c r="F22" i="1"/>
</calcChain>
</file>

<file path=xl/sharedStrings.xml><?xml version="1.0" encoding="utf-8"?>
<sst xmlns="http://schemas.openxmlformats.org/spreadsheetml/2006/main" count="155" uniqueCount="36">
  <si>
    <t>รายจ่าย</t>
  </si>
  <si>
    <t>ยอดจ่ายรวม</t>
  </si>
  <si>
    <t>รายรับ</t>
  </si>
  <si>
    <t>ยูเมะ</t>
  </si>
  <si>
    <t>uob</t>
  </si>
  <si>
    <t>ais</t>
  </si>
  <si>
    <t>เงินกิน</t>
  </si>
  <si>
    <t>เงินเดือน</t>
  </si>
  <si>
    <t>เสาร์อาทิต เดือน ก.ค.</t>
  </si>
  <si>
    <t>เสาร์อาทิต เดือน ก.ย. (5-6)</t>
  </si>
  <si>
    <t>ยอดรับรวม</t>
  </si>
  <si>
    <t>จ่ายคืนยอดยืม</t>
  </si>
  <si>
    <t xml:space="preserve">เสาร์อาทิต เดือน ก.ย. </t>
  </si>
  <si>
    <t>เสาร์อาทิต เดือน ต.ค. (3-4)</t>
  </si>
  <si>
    <t xml:space="preserve">เสาร์อาทิต เดือน ต.ค </t>
  </si>
  <si>
    <t>เสาร์อาทิต เดือน พ.ย. (1-8)</t>
  </si>
  <si>
    <t>เสาร์อาทิต เดือน พ.ย.</t>
  </si>
  <si>
    <t>เสาร์อาทิต เดือน ธ.ค. (5-6)</t>
  </si>
  <si>
    <t>ยอดจ่ายคืนรวม</t>
  </si>
  <si>
    <t>ยอดคืนแต่ละเดือน</t>
  </si>
  <si>
    <t>เดือน</t>
  </si>
  <si>
    <t>เสาร์อาทิต เดือน ธ.ค.</t>
  </si>
  <si>
    <t>เสาร์อาทิต เดือน ก.ค. (9-10</t>
  </si>
  <si>
    <t xml:space="preserve">เสาร์อาทิต เดือน ก.ค. </t>
  </si>
  <si>
    <t>เสาร์อาทิต เดือน ก.พ. (6-7)</t>
  </si>
  <si>
    <t>เสาร์อาทิต เดือน ก.พ.</t>
  </si>
  <si>
    <t>เสาร์อาทิต เดือน มี.ค. (6-7)</t>
  </si>
  <si>
    <t>เสาร์อาทิต เดือน มี.ค.</t>
  </si>
  <si>
    <t>เสาร์อาทิต เดือน เม.ย. (3-4)</t>
  </si>
  <si>
    <t>เสาร์อาทิต เดือน เม.ย.</t>
  </si>
  <si>
    <t>เสาร์อาทิต เดือน พ.ค.</t>
  </si>
  <si>
    <t>เสาร์อาทิต เดือน มิ.ย.</t>
  </si>
  <si>
    <t>เสาร์อาทิต เดือน ก.ค. (3-4)</t>
  </si>
  <si>
    <t>เสาร์อาทิต เดือน ส.ค. (3-4)</t>
  </si>
  <si>
    <t>เสาร์อาทิต เดือน พ.ค. (1-2)</t>
  </si>
  <si>
    <t>เสาร์อาทิต เดือน มิ.ย. (5-6)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</si>
</sst>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7" fontId="0" fillId="0" borderId="9" xfId="0" applyNumberFormat="1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5034-E3D4-4F0A-98F2-20AA23C86420}">
  <dimension ref="A1:K112"/>
  <sheetViews>
    <sheetView tabSelected="1" zoomScaleNormal="100" workbookViewId="0">
      <selection activeCell="N13" sqref="N13"/>
    </sheetView>
  </sheetViews>
  <sheetFormatPr defaultRowHeight="14.5" x14ac:dyDescent="0.35"/>
  <cols>
    <col min="7" max="7" width="23.54296875" bestFit="1" customWidth="1"/>
    <col min="9" max="9" width="9.54296875" customWidth="1"/>
    <col min="10" max="11" width="13.26953125" bestFit="1" customWidth="1"/>
  </cols>
  <sheetData>
    <row r="1" spans="1:11" x14ac:dyDescent="0.35">
      <c r="A1" s="11">
        <v>46235</v>
      </c>
      <c r="B1" s="1"/>
      <c r="C1" s="1" t="s">
        <v>0</v>
      </c>
      <c r="D1" s="1" t="s">
        <v>1</v>
      </c>
      <c r="E1" s="1"/>
      <c r="F1" s="1" t="s">
        <v>2</v>
      </c>
      <c r="G1" s="2"/>
    </row>
    <row r="2" spans="1:11" x14ac:dyDescent="0.35">
      <c r="A2" s="9"/>
      <c r="B2" s="4" t="s">
        <v>3</v>
      </c>
      <c r="C2" s="4">
        <v>2379.92</v>
      </c>
      <c r="D2" s="4">
        <f>C2+C3+C4+C5</f>
        <v>13199.92</v>
      </c>
      <c r="E2" s="4"/>
      <c r="F2" s="4">
        <f>H2*I2</f>
        <v>3150</v>
      </c>
      <c r="G2" s="5" t="s">
        <v>8</v>
      </c>
      <c r="H2">
        <v>7</v>
      </c>
      <c r="I2">
        <v>450</v>
      </c>
    </row>
    <row r="3" spans="1:11" x14ac:dyDescent="0.35">
      <c r="A3" s="9"/>
      <c r="B3" s="4" t="s">
        <v>4</v>
      </c>
      <c r="C3" s="4">
        <v>8420</v>
      </c>
      <c r="D3" s="4"/>
      <c r="E3" s="4"/>
      <c r="F3" s="4"/>
      <c r="G3" s="5"/>
      <c r="H3">
        <v>2</v>
      </c>
    </row>
    <row r="4" spans="1:11" x14ac:dyDescent="0.35">
      <c r="A4" s="9"/>
      <c r="B4" s="4" t="s">
        <v>5</v>
      </c>
      <c r="C4" s="4">
        <v>1400</v>
      </c>
      <c r="D4" s="4"/>
      <c r="E4" s="4"/>
      <c r="F4" s="4"/>
      <c r="G4" s="5"/>
      <c r="H4">
        <v>5</v>
      </c>
    </row>
    <row r="5" spans="1:11" ht="15" thickBot="1" x14ac:dyDescent="0.4">
      <c r="A5" s="10"/>
      <c r="B5" s="7" t="s">
        <v>6</v>
      </c>
      <c r="C5" s="7">
        <v>1000</v>
      </c>
      <c r="D5" s="7"/>
      <c r="E5" s="7"/>
      <c r="F5" s="7"/>
      <c r="G5" s="8"/>
      <c r="H5">
        <v>6</v>
      </c>
    </row>
    <row r="6" spans="1:11" ht="15" thickBot="1" x14ac:dyDescent="0.4">
      <c r="H6">
        <v>3</v>
      </c>
    </row>
    <row r="7" spans="1:11" x14ac:dyDescent="0.35">
      <c r="A7" s="11">
        <v>46266</v>
      </c>
      <c r="B7" s="1"/>
      <c r="C7" s="1" t="s">
        <v>0</v>
      </c>
      <c r="D7" s="1" t="s">
        <v>1</v>
      </c>
      <c r="E7" s="1"/>
      <c r="F7" s="1" t="s">
        <v>2</v>
      </c>
      <c r="G7" s="2"/>
      <c r="H7">
        <v>4</v>
      </c>
    </row>
    <row r="8" spans="1:11" ht="15" thickBot="1" x14ac:dyDescent="0.4">
      <c r="A8" s="9"/>
      <c r="B8" s="4" t="s">
        <v>5</v>
      </c>
      <c r="C8" s="4">
        <v>1161</v>
      </c>
      <c r="D8" s="4">
        <f>C8+C9+C10+C11+C12</f>
        <v>12960.92</v>
      </c>
      <c r="E8" s="4"/>
      <c r="F8" s="4">
        <v>10000</v>
      </c>
      <c r="G8" s="5" t="s">
        <v>7</v>
      </c>
    </row>
    <row r="9" spans="1:11" x14ac:dyDescent="0.35">
      <c r="A9" s="9"/>
      <c r="B9" s="4" t="s">
        <v>6</v>
      </c>
      <c r="C9" s="4">
        <v>1000</v>
      </c>
      <c r="D9" s="4"/>
      <c r="E9" s="4"/>
      <c r="F9" s="4">
        <v>3150</v>
      </c>
      <c r="G9" s="5" t="s">
        <v>8</v>
      </c>
      <c r="I9" s="12" t="s">
        <v>20</v>
      </c>
      <c r="J9" s="1" t="s">
        <v>19</v>
      </c>
      <c r="K9" s="2" t="s">
        <v>18</v>
      </c>
    </row>
    <row r="10" spans="1:11" x14ac:dyDescent="0.35">
      <c r="A10" s="9"/>
      <c r="B10" s="4" t="s">
        <v>3</v>
      </c>
      <c r="C10" s="4">
        <v>2379.92</v>
      </c>
      <c r="D10" s="4"/>
      <c r="E10" s="4"/>
      <c r="F10" s="4">
        <f>H3*I2</f>
        <v>900</v>
      </c>
      <c r="G10" s="5" t="s">
        <v>9</v>
      </c>
      <c r="I10" s="3">
        <v>1</v>
      </c>
      <c r="J10" s="4">
        <f>F13</f>
        <v>1089.08</v>
      </c>
      <c r="K10" s="5">
        <f>J10+J11+J12+J13+J14+J15+J16+J17+J18+J19+J20+J21</f>
        <v>8578.9599999999991</v>
      </c>
    </row>
    <row r="11" spans="1:11" x14ac:dyDescent="0.35">
      <c r="A11" s="9"/>
      <c r="B11" s="4" t="s">
        <v>4</v>
      </c>
      <c r="C11" s="4">
        <v>8420</v>
      </c>
      <c r="D11" s="4"/>
      <c r="E11" s="4"/>
      <c r="F11" s="4"/>
      <c r="G11" s="5"/>
      <c r="I11" s="3">
        <v>2</v>
      </c>
      <c r="J11" s="4">
        <f>F22</f>
        <v>550.07999999999993</v>
      </c>
      <c r="K11" s="5"/>
    </row>
    <row r="12" spans="1:11" x14ac:dyDescent="0.35">
      <c r="A12" s="9"/>
      <c r="B12" s="4"/>
      <c r="C12" s="4"/>
      <c r="D12" s="4"/>
      <c r="E12" s="4"/>
      <c r="F12" s="4">
        <f>F8+F9+F10</f>
        <v>14050</v>
      </c>
      <c r="G12" s="5" t="s">
        <v>10</v>
      </c>
      <c r="I12" s="3">
        <v>3</v>
      </c>
      <c r="J12" s="4">
        <f>F31</f>
        <v>1450.08</v>
      </c>
      <c r="K12" s="5"/>
    </row>
    <row r="13" spans="1:11" ht="15" thickBot="1" x14ac:dyDescent="0.4">
      <c r="A13" s="10"/>
      <c r="B13" s="7"/>
      <c r="C13" s="7"/>
      <c r="D13" s="7"/>
      <c r="E13" s="7"/>
      <c r="F13" s="7">
        <f>F12-D8</f>
        <v>1089.08</v>
      </c>
      <c r="G13" s="8" t="s">
        <v>11</v>
      </c>
      <c r="I13" s="3">
        <v>4</v>
      </c>
      <c r="J13" s="4">
        <f>F40</f>
        <v>550.07999999999993</v>
      </c>
      <c r="K13" s="5"/>
    </row>
    <row r="14" spans="1:11" x14ac:dyDescent="0.35">
      <c r="I14" s="3">
        <v>5</v>
      </c>
      <c r="J14" s="4">
        <f>F49</f>
        <v>189.07999999999993</v>
      </c>
      <c r="K14" s="5"/>
    </row>
    <row r="15" spans="1:11" ht="15" thickBot="1" x14ac:dyDescent="0.4">
      <c r="I15" s="3">
        <v>6</v>
      </c>
      <c r="J15" s="4">
        <f>F58</f>
        <v>550.07999999999993</v>
      </c>
      <c r="K15" s="5"/>
    </row>
    <row r="16" spans="1:11" x14ac:dyDescent="0.35">
      <c r="A16" s="11">
        <v>46296</v>
      </c>
      <c r="B16" s="1"/>
      <c r="C16" s="1" t="s">
        <v>0</v>
      </c>
      <c r="D16" s="1" t="s">
        <v>1</v>
      </c>
      <c r="E16" s="1"/>
      <c r="F16" s="1" t="s">
        <v>2</v>
      </c>
      <c r="G16" s="2"/>
      <c r="I16" s="3">
        <v>7</v>
      </c>
      <c r="J16" s="4">
        <f>F67</f>
        <v>550.07999999999993</v>
      </c>
      <c r="K16" s="5"/>
    </row>
    <row r="17" spans="1:11" x14ac:dyDescent="0.35">
      <c r="A17" s="9"/>
      <c r="B17" s="4" t="s">
        <v>5</v>
      </c>
      <c r="C17" s="4">
        <v>800</v>
      </c>
      <c r="D17" s="4">
        <f>C17+C18+C19+C20+C21</f>
        <v>12599.92</v>
      </c>
      <c r="E17" s="4"/>
      <c r="F17" s="4">
        <v>10000</v>
      </c>
      <c r="G17" s="5" t="s">
        <v>7</v>
      </c>
      <c r="I17" s="3">
        <v>8</v>
      </c>
      <c r="J17" s="4">
        <f>F76</f>
        <v>550.07999999999993</v>
      </c>
      <c r="K17" s="5"/>
    </row>
    <row r="18" spans="1:11" x14ac:dyDescent="0.35">
      <c r="A18" s="9"/>
      <c r="B18" s="4" t="s">
        <v>6</v>
      </c>
      <c r="C18" s="4">
        <v>1000</v>
      </c>
      <c r="D18" s="4"/>
      <c r="E18" s="4"/>
      <c r="F18" s="4">
        <f>I2*H4</f>
        <v>2250</v>
      </c>
      <c r="G18" s="5" t="s">
        <v>12</v>
      </c>
      <c r="I18" s="3">
        <v>9</v>
      </c>
      <c r="J18" s="4">
        <f>F85</f>
        <v>100.07999999999993</v>
      </c>
      <c r="K18" s="5"/>
    </row>
    <row r="19" spans="1:11" x14ac:dyDescent="0.35">
      <c r="A19" s="9"/>
      <c r="B19" s="4" t="s">
        <v>3</v>
      </c>
      <c r="C19" s="4">
        <v>2379.92</v>
      </c>
      <c r="D19" s="4"/>
      <c r="E19" s="4"/>
      <c r="F19" s="4">
        <f>I2*H3</f>
        <v>900</v>
      </c>
      <c r="G19" s="5" t="s">
        <v>13</v>
      </c>
      <c r="I19" s="3">
        <v>10</v>
      </c>
      <c r="J19" s="4">
        <f>F94</f>
        <v>1450.08</v>
      </c>
      <c r="K19" s="5"/>
    </row>
    <row r="20" spans="1:11" x14ac:dyDescent="0.35">
      <c r="A20" s="9"/>
      <c r="B20" s="4" t="s">
        <v>4</v>
      </c>
      <c r="C20" s="4">
        <v>8420</v>
      </c>
      <c r="D20" s="4"/>
      <c r="E20" s="4"/>
      <c r="F20" s="4"/>
      <c r="G20" s="5"/>
      <c r="I20" s="3">
        <v>11</v>
      </c>
      <c r="J20" s="4">
        <f>F103</f>
        <v>550.07999999999993</v>
      </c>
      <c r="K20" s="5"/>
    </row>
    <row r="21" spans="1:11" ht="15" thickBot="1" x14ac:dyDescent="0.4">
      <c r="A21" s="9"/>
      <c r="B21" s="4"/>
      <c r="C21" s="4"/>
      <c r="D21" s="4"/>
      <c r="E21" s="4"/>
      <c r="F21" s="4">
        <f>F17+F18+F19</f>
        <v>13150</v>
      </c>
      <c r="G21" s="5" t="s">
        <v>10</v>
      </c>
      <c r="I21" s="6">
        <v>12</v>
      </c>
      <c r="J21" s="7">
        <f>F112</f>
        <v>1000.0799999999999</v>
      </c>
      <c r="K21" s="8"/>
    </row>
    <row r="22" spans="1:11" ht="15" thickBot="1" x14ac:dyDescent="0.4">
      <c r="A22" s="10"/>
      <c r="B22" s="7"/>
      <c r="C22" s="7"/>
      <c r="D22" s="7"/>
      <c r="E22" s="7"/>
      <c r="F22" s="7">
        <f>F21-D17</f>
        <v>550.07999999999993</v>
      </c>
      <c r="G22" s="8" t="s">
        <v>11</v>
      </c>
    </row>
    <row r="24" spans="1:11" ht="15" thickBot="1" x14ac:dyDescent="0.4"/>
    <row r="25" spans="1:11" x14ac:dyDescent="0.35">
      <c r="A25" s="11">
        <v>46327</v>
      </c>
      <c r="B25" s="1"/>
      <c r="C25" s="1" t="s">
        <v>0</v>
      </c>
      <c r="D25" s="1" t="s">
        <v>1</v>
      </c>
      <c r="E25" s="1"/>
      <c r="F25" s="1" t="s">
        <v>2</v>
      </c>
      <c r="G25" s="2"/>
    </row>
    <row r="26" spans="1:11" x14ac:dyDescent="0.35">
      <c r="A26" s="9"/>
      <c r="B26" s="4" t="s">
        <v>5</v>
      </c>
      <c r="C26" s="4">
        <v>800</v>
      </c>
      <c r="D26" s="4">
        <f>C26+C27+C28+C29+C30</f>
        <v>12599.92</v>
      </c>
      <c r="E26" s="4"/>
      <c r="F26" s="4">
        <v>10000</v>
      </c>
      <c r="G26" s="5" t="s">
        <v>7</v>
      </c>
    </row>
    <row r="27" spans="1:11" x14ac:dyDescent="0.35">
      <c r="A27" s="9"/>
      <c r="B27" s="4" t="s">
        <v>6</v>
      </c>
      <c r="C27" s="4">
        <v>1000</v>
      </c>
      <c r="D27" s="4"/>
      <c r="E27" s="4"/>
      <c r="F27" s="4">
        <f>I2*H5</f>
        <v>2700</v>
      </c>
      <c r="G27" s="5" t="s">
        <v>14</v>
      </c>
    </row>
    <row r="28" spans="1:11" x14ac:dyDescent="0.35">
      <c r="A28" s="9"/>
      <c r="B28" s="4" t="s">
        <v>3</v>
      </c>
      <c r="C28" s="4">
        <v>2379.92</v>
      </c>
      <c r="D28" s="4"/>
      <c r="E28" s="4"/>
      <c r="F28" s="4">
        <f>I2*H6</f>
        <v>1350</v>
      </c>
      <c r="G28" s="5" t="s">
        <v>15</v>
      </c>
    </row>
    <row r="29" spans="1:11" x14ac:dyDescent="0.35">
      <c r="A29" s="9"/>
      <c r="B29" s="4" t="s">
        <v>4</v>
      </c>
      <c r="C29" s="4">
        <v>8420</v>
      </c>
      <c r="D29" s="4"/>
      <c r="E29" s="4"/>
      <c r="F29" s="4"/>
      <c r="G29" s="5"/>
    </row>
    <row r="30" spans="1:11" x14ac:dyDescent="0.35">
      <c r="A30" s="9"/>
      <c r="B30" s="4"/>
      <c r="C30" s="4"/>
      <c r="D30" s="4"/>
      <c r="E30" s="4"/>
      <c r="F30" s="4">
        <f>F26+F27+F28</f>
        <v>14050</v>
      </c>
      <c r="G30" s="5" t="s">
        <v>10</v>
      </c>
    </row>
    <row r="31" spans="1:11" ht="15" thickBot="1" x14ac:dyDescent="0.4">
      <c r="A31" s="10"/>
      <c r="B31" s="7"/>
      <c r="C31" s="7"/>
      <c r="D31" s="7"/>
      <c r="E31" s="7"/>
      <c r="F31" s="7">
        <f>F30-D26</f>
        <v>1450.08</v>
      </c>
      <c r="G31" s="8" t="s">
        <v>11</v>
      </c>
    </row>
    <row r="33" spans="1:7" ht="15" thickBot="1" x14ac:dyDescent="0.4"/>
    <row r="34" spans="1:7" x14ac:dyDescent="0.35">
      <c r="A34" s="11">
        <v>46357</v>
      </c>
      <c r="B34" s="1"/>
      <c r="C34" s="1" t="s">
        <v>0</v>
      </c>
      <c r="D34" s="1" t="s">
        <v>1</v>
      </c>
      <c r="E34" s="1"/>
      <c r="F34" s="1" t="s">
        <v>2</v>
      </c>
      <c r="G34" s="2"/>
    </row>
    <row r="35" spans="1:7" x14ac:dyDescent="0.35">
      <c r="A35" s="9"/>
      <c r="B35" s="4" t="s">
        <v>5</v>
      </c>
      <c r="C35" s="4">
        <v>800</v>
      </c>
      <c r="D35" s="4">
        <f>C35+C36+C37+C38+C39</f>
        <v>12599.92</v>
      </c>
      <c r="E35" s="4"/>
      <c r="F35" s="4">
        <v>10000</v>
      </c>
      <c r="G35" s="5" t="s">
        <v>7</v>
      </c>
    </row>
    <row r="36" spans="1:7" x14ac:dyDescent="0.35">
      <c r="A36" s="9"/>
      <c r="B36" s="4" t="s">
        <v>6</v>
      </c>
      <c r="C36" s="4">
        <v>1000</v>
      </c>
      <c r="D36" s="4"/>
      <c r="E36" s="4"/>
      <c r="F36" s="4">
        <f>I2*H4</f>
        <v>2250</v>
      </c>
      <c r="G36" s="5" t="s">
        <v>16</v>
      </c>
    </row>
    <row r="37" spans="1:7" x14ac:dyDescent="0.35">
      <c r="A37" s="9"/>
      <c r="B37" s="4" t="s">
        <v>3</v>
      </c>
      <c r="C37" s="4">
        <v>2379.92</v>
      </c>
      <c r="D37" s="4"/>
      <c r="E37" s="4"/>
      <c r="F37" s="4">
        <f>I2*H3</f>
        <v>900</v>
      </c>
      <c r="G37" s="5" t="s">
        <v>17</v>
      </c>
    </row>
    <row r="38" spans="1:7" x14ac:dyDescent="0.35">
      <c r="A38" s="9"/>
      <c r="B38" s="4" t="s">
        <v>4</v>
      </c>
      <c r="C38" s="4">
        <v>8420</v>
      </c>
      <c r="D38" s="4"/>
      <c r="E38" s="4"/>
      <c r="F38" s="4"/>
      <c r="G38" s="5"/>
    </row>
    <row r="39" spans="1:7" x14ac:dyDescent="0.35">
      <c r="A39" s="9"/>
      <c r="B39" s="4"/>
      <c r="C39" s="4"/>
      <c r="D39" s="4"/>
      <c r="E39" s="4"/>
      <c r="F39" s="4">
        <f>F35+F36+F37</f>
        <v>13150</v>
      </c>
      <c r="G39" s="5" t="s">
        <v>10</v>
      </c>
    </row>
    <row r="40" spans="1:7" ht="15" thickBot="1" x14ac:dyDescent="0.4">
      <c r="A40" s="10"/>
      <c r="B40" s="7"/>
      <c r="C40" s="7"/>
      <c r="D40" s="7"/>
      <c r="E40" s="7"/>
      <c r="F40" s="7">
        <f>F39-D35</f>
        <v>550.07999999999993</v>
      </c>
      <c r="G40" s="8" t="s">
        <v>11</v>
      </c>
    </row>
    <row r="42" spans="1:7" ht="15" thickBot="1" x14ac:dyDescent="0.4"/>
    <row r="43" spans="1:7" x14ac:dyDescent="0.35">
      <c r="A43" s="11">
        <v>46388</v>
      </c>
      <c r="B43" s="1"/>
      <c r="C43" s="1" t="s">
        <v>0</v>
      </c>
      <c r="D43" s="1" t="s">
        <v>1</v>
      </c>
      <c r="E43" s="1"/>
      <c r="F43" s="1" t="s">
        <v>2</v>
      </c>
      <c r="G43" s="2"/>
    </row>
    <row r="44" spans="1:7" x14ac:dyDescent="0.35">
      <c r="A44" s="9"/>
      <c r="B44" s="4" t="s">
        <v>5</v>
      </c>
      <c r="C44" s="4">
        <v>1161</v>
      </c>
      <c r="D44" s="4">
        <f>C44+C45+C46+C47+C48</f>
        <v>12960.92</v>
      </c>
      <c r="E44" s="4"/>
      <c r="F44" s="4">
        <v>10000</v>
      </c>
      <c r="G44" s="5" t="s">
        <v>7</v>
      </c>
    </row>
    <row r="45" spans="1:7" x14ac:dyDescent="0.35">
      <c r="A45" s="9"/>
      <c r="B45" s="4" t="s">
        <v>6</v>
      </c>
      <c r="C45" s="4">
        <v>1000</v>
      </c>
      <c r="D45" s="4"/>
      <c r="E45" s="4"/>
      <c r="F45" s="4">
        <f>I2*H4</f>
        <v>2250</v>
      </c>
      <c r="G45" s="5" t="s">
        <v>21</v>
      </c>
    </row>
    <row r="46" spans="1:7" x14ac:dyDescent="0.35">
      <c r="A46" s="9"/>
      <c r="B46" s="4" t="s">
        <v>3</v>
      </c>
      <c r="C46" s="4">
        <v>2379.92</v>
      </c>
      <c r="D46" s="4"/>
      <c r="E46" s="4"/>
      <c r="F46" s="4">
        <f>I2*H3</f>
        <v>900</v>
      </c>
      <c r="G46" s="5" t="s">
        <v>22</v>
      </c>
    </row>
    <row r="47" spans="1:7" x14ac:dyDescent="0.35">
      <c r="A47" s="9"/>
      <c r="B47" s="4" t="s">
        <v>4</v>
      </c>
      <c r="C47" s="4">
        <v>8420</v>
      </c>
      <c r="D47" s="4"/>
      <c r="E47" s="4"/>
      <c r="F47" s="4"/>
      <c r="G47" s="5"/>
    </row>
    <row r="48" spans="1:7" x14ac:dyDescent="0.35">
      <c r="A48" s="9"/>
      <c r="B48" s="4"/>
      <c r="C48" s="4"/>
      <c r="D48" s="4"/>
      <c r="E48" s="4"/>
      <c r="F48" s="4">
        <f>F44+F45+F46</f>
        <v>13150</v>
      </c>
      <c r="G48" s="5" t="s">
        <v>10</v>
      </c>
    </row>
    <row r="49" spans="1:7" ht="15" thickBot="1" x14ac:dyDescent="0.4">
      <c r="A49" s="10"/>
      <c r="B49" s="7"/>
      <c r="C49" s="7"/>
      <c r="D49" s="7"/>
      <c r="E49" s="7"/>
      <c r="F49" s="7">
        <f>F48-D44</f>
        <v>189.07999999999993</v>
      </c>
      <c r="G49" s="8" t="s">
        <v>11</v>
      </c>
    </row>
    <row r="51" spans="1:7" ht="15" thickBot="1" x14ac:dyDescent="0.4"/>
    <row r="52" spans="1:7" x14ac:dyDescent="0.35">
      <c r="A52" s="11">
        <v>46419</v>
      </c>
      <c r="B52" s="1"/>
      <c r="C52" s="1" t="s">
        <v>0</v>
      </c>
      <c r="D52" s="1" t="s">
        <v>1</v>
      </c>
      <c r="E52" s="1"/>
      <c r="F52" s="1" t="s">
        <v>2</v>
      </c>
      <c r="G52" s="2"/>
    </row>
    <row r="53" spans="1:7" x14ac:dyDescent="0.35">
      <c r="A53" s="9"/>
      <c r="B53" s="4" t="s">
        <v>5</v>
      </c>
      <c r="C53" s="4">
        <v>800</v>
      </c>
      <c r="D53" s="4">
        <f>C53+C54+C55+C56+C57</f>
        <v>12599.92</v>
      </c>
      <c r="E53" s="4"/>
      <c r="F53" s="4">
        <v>10000</v>
      </c>
      <c r="G53" s="5" t="s">
        <v>7</v>
      </c>
    </row>
    <row r="54" spans="1:7" x14ac:dyDescent="0.35">
      <c r="A54" s="9"/>
      <c r="B54" s="4" t="s">
        <v>6</v>
      </c>
      <c r="C54" s="4">
        <v>1000</v>
      </c>
      <c r="D54" s="4"/>
      <c r="E54" s="4"/>
      <c r="F54" s="4">
        <f>I2*H4</f>
        <v>2250</v>
      </c>
      <c r="G54" s="5" t="s">
        <v>23</v>
      </c>
    </row>
    <row r="55" spans="1:7" x14ac:dyDescent="0.35">
      <c r="A55" s="9"/>
      <c r="B55" s="4" t="s">
        <v>3</v>
      </c>
      <c r="C55" s="4">
        <v>2379.92</v>
      </c>
      <c r="D55" s="4"/>
      <c r="E55" s="4"/>
      <c r="F55" s="4">
        <f>I2*H3</f>
        <v>900</v>
      </c>
      <c r="G55" s="5" t="s">
        <v>24</v>
      </c>
    </row>
    <row r="56" spans="1:7" x14ac:dyDescent="0.35">
      <c r="A56" s="9"/>
      <c r="B56" s="4" t="s">
        <v>4</v>
      </c>
      <c r="C56" s="4">
        <v>8420</v>
      </c>
      <c r="D56" s="4"/>
      <c r="E56" s="4"/>
      <c r="F56" s="4"/>
      <c r="G56" s="5"/>
    </row>
    <row r="57" spans="1:7" x14ac:dyDescent="0.35">
      <c r="A57" s="9"/>
      <c r="B57" s="4"/>
      <c r="C57" s="4"/>
      <c r="D57" s="4"/>
      <c r="E57" s="4"/>
      <c r="F57" s="4">
        <f>F53+F54+F55</f>
        <v>13150</v>
      </c>
      <c r="G57" s="5" t="s">
        <v>10</v>
      </c>
    </row>
    <row r="58" spans="1:7" ht="15" thickBot="1" x14ac:dyDescent="0.4">
      <c r="A58" s="10"/>
      <c r="B58" s="7"/>
      <c r="C58" s="7"/>
      <c r="D58" s="7"/>
      <c r="E58" s="7"/>
      <c r="F58" s="7">
        <f>F57-D53</f>
        <v>550.07999999999993</v>
      </c>
      <c r="G58" s="8" t="s">
        <v>11</v>
      </c>
    </row>
    <row r="60" spans="1:7" ht="15" thickBot="1" x14ac:dyDescent="0.4"/>
    <row r="61" spans="1:7" x14ac:dyDescent="0.35">
      <c r="A61" s="11">
        <v>46447</v>
      </c>
      <c r="B61" s="1"/>
      <c r="C61" s="1" t="s">
        <v>0</v>
      </c>
      <c r="D61" s="1" t="s">
        <v>1</v>
      </c>
      <c r="E61" s="1"/>
      <c r="F61" s="1" t="s">
        <v>2</v>
      </c>
      <c r="G61" s="2"/>
    </row>
    <row r="62" spans="1:7" x14ac:dyDescent="0.35">
      <c r="A62" s="9"/>
      <c r="B62" s="4" t="s">
        <v>5</v>
      </c>
      <c r="C62" s="4">
        <v>800</v>
      </c>
      <c r="D62" s="4">
        <f>C62+C63+C64+C65+C66</f>
        <v>12599.92</v>
      </c>
      <c r="E62" s="4"/>
      <c r="F62" s="4">
        <v>10000</v>
      </c>
      <c r="G62" s="5" t="s">
        <v>7</v>
      </c>
    </row>
    <row r="63" spans="1:7" x14ac:dyDescent="0.35">
      <c r="A63" s="9"/>
      <c r="B63" s="4" t="s">
        <v>6</v>
      </c>
      <c r="C63" s="4">
        <v>1000</v>
      </c>
      <c r="D63" s="4"/>
      <c r="E63" s="4"/>
      <c r="F63" s="4">
        <f>I2*H4</f>
        <v>2250</v>
      </c>
      <c r="G63" s="5" t="s">
        <v>25</v>
      </c>
    </row>
    <row r="64" spans="1:7" x14ac:dyDescent="0.35">
      <c r="A64" s="9"/>
      <c r="B64" s="4" t="s">
        <v>3</v>
      </c>
      <c r="C64" s="4">
        <v>2379.92</v>
      </c>
      <c r="D64" s="4"/>
      <c r="E64" s="4"/>
      <c r="F64" s="4">
        <f>I2*H3</f>
        <v>900</v>
      </c>
      <c r="G64" s="5" t="s">
        <v>26</v>
      </c>
    </row>
    <row r="65" spans="1:7" x14ac:dyDescent="0.35">
      <c r="A65" s="9"/>
      <c r="B65" s="4" t="s">
        <v>4</v>
      </c>
      <c r="C65" s="4">
        <v>8420</v>
      </c>
      <c r="D65" s="4"/>
      <c r="E65" s="4"/>
      <c r="F65" s="4"/>
      <c r="G65" s="5"/>
    </row>
    <row r="66" spans="1:7" x14ac:dyDescent="0.35">
      <c r="A66" s="9"/>
      <c r="B66" s="4"/>
      <c r="C66" s="4"/>
      <c r="D66" s="4"/>
      <c r="E66" s="4"/>
      <c r="F66" s="4">
        <f>F62+F63+F64</f>
        <v>13150</v>
      </c>
      <c r="G66" s="5" t="s">
        <v>10</v>
      </c>
    </row>
    <row r="67" spans="1:7" ht="15" thickBot="1" x14ac:dyDescent="0.4">
      <c r="A67" s="10"/>
      <c r="B67" s="7"/>
      <c r="C67" s="7"/>
      <c r="D67" s="7"/>
      <c r="E67" s="7"/>
      <c r="F67" s="7">
        <f>F66-D62</f>
        <v>550.07999999999993</v>
      </c>
      <c r="G67" s="8" t="s">
        <v>11</v>
      </c>
    </row>
    <row r="69" spans="1:7" ht="15" thickBot="1" x14ac:dyDescent="0.4"/>
    <row r="70" spans="1:7" x14ac:dyDescent="0.35">
      <c r="A70" s="11">
        <v>46478</v>
      </c>
      <c r="B70" s="1"/>
      <c r="C70" s="1" t="s">
        <v>0</v>
      </c>
      <c r="D70" s="1" t="s">
        <v>1</v>
      </c>
      <c r="E70" s="1"/>
      <c r="F70" s="1" t="s">
        <v>2</v>
      </c>
      <c r="G70" s="2"/>
    </row>
    <row r="71" spans="1:7" x14ac:dyDescent="0.35">
      <c r="A71" s="9"/>
      <c r="B71" s="4" t="s">
        <v>5</v>
      </c>
      <c r="C71" s="4">
        <v>800</v>
      </c>
      <c r="D71" s="4">
        <f>C71+C72+C73+C74+C75</f>
        <v>12599.92</v>
      </c>
      <c r="E71" s="4"/>
      <c r="F71" s="4">
        <v>10000</v>
      </c>
      <c r="G71" s="5" t="s">
        <v>7</v>
      </c>
    </row>
    <row r="72" spans="1:7" x14ac:dyDescent="0.35">
      <c r="A72" s="9"/>
      <c r="B72" s="4" t="s">
        <v>6</v>
      </c>
      <c r="C72" s="4">
        <v>1000</v>
      </c>
      <c r="D72" s="4"/>
      <c r="E72" s="4"/>
      <c r="F72" s="4">
        <f>I2*H4</f>
        <v>2250</v>
      </c>
      <c r="G72" s="5" t="s">
        <v>27</v>
      </c>
    </row>
    <row r="73" spans="1:7" x14ac:dyDescent="0.35">
      <c r="A73" s="9"/>
      <c r="B73" s="4" t="s">
        <v>3</v>
      </c>
      <c r="C73" s="4">
        <v>2379.92</v>
      </c>
      <c r="D73" s="4"/>
      <c r="E73" s="4"/>
      <c r="F73" s="4">
        <f>I2*H3</f>
        <v>900</v>
      </c>
      <c r="G73" s="5" t="s">
        <v>28</v>
      </c>
    </row>
    <row r="74" spans="1:7" x14ac:dyDescent="0.35">
      <c r="A74" s="9"/>
      <c r="B74" s="4" t="s">
        <v>4</v>
      </c>
      <c r="C74" s="4">
        <v>8420</v>
      </c>
      <c r="D74" s="4"/>
      <c r="E74" s="4"/>
      <c r="F74" s="4"/>
      <c r="G74" s="5"/>
    </row>
    <row r="75" spans="1:7" x14ac:dyDescent="0.35">
      <c r="A75" s="9"/>
      <c r="B75" s="4"/>
      <c r="C75" s="4"/>
      <c r="D75" s="4"/>
      <c r="E75" s="4"/>
      <c r="F75" s="4">
        <f>F71+F72+F73</f>
        <v>13150</v>
      </c>
      <c r="G75" s="5" t="s">
        <v>10</v>
      </c>
    </row>
    <row r="76" spans="1:7" ht="15" thickBot="1" x14ac:dyDescent="0.4">
      <c r="A76" s="10"/>
      <c r="B76" s="7"/>
      <c r="C76" s="7"/>
      <c r="D76" s="7"/>
      <c r="E76" s="7"/>
      <c r="F76" s="7">
        <f>F75-D71</f>
        <v>550.07999999999993</v>
      </c>
      <c r="G76" s="8" t="s">
        <v>11</v>
      </c>
    </row>
    <row r="78" spans="1:7" ht="15" thickBot="1" x14ac:dyDescent="0.4"/>
    <row r="79" spans="1:7" x14ac:dyDescent="0.35">
      <c r="A79" s="11">
        <v>46508</v>
      </c>
      <c r="B79" s="1"/>
      <c r="C79" s="1" t="s">
        <v>0</v>
      </c>
      <c r="D79" s="1" t="s">
        <v>1</v>
      </c>
      <c r="E79" s="1"/>
      <c r="F79" s="1" t="s">
        <v>2</v>
      </c>
      <c r="G79" s="2"/>
    </row>
    <row r="80" spans="1:7" x14ac:dyDescent="0.35">
      <c r="A80" s="9"/>
      <c r="B80" s="4" t="s">
        <v>5</v>
      </c>
      <c r="C80" s="4">
        <v>800</v>
      </c>
      <c r="D80" s="4">
        <f>C80+C81+C82+C83+C84</f>
        <v>12599.92</v>
      </c>
      <c r="E80" s="4"/>
      <c r="F80" s="4">
        <v>10000</v>
      </c>
      <c r="G80" s="5" t="s">
        <v>7</v>
      </c>
    </row>
    <row r="81" spans="1:7" x14ac:dyDescent="0.35">
      <c r="A81" s="9"/>
      <c r="B81" s="4" t="s">
        <v>6</v>
      </c>
      <c r="C81" s="4">
        <v>1000</v>
      </c>
      <c r="D81" s="4"/>
      <c r="E81" s="4"/>
      <c r="F81" s="4">
        <f>I2*H7</f>
        <v>1800</v>
      </c>
      <c r="G81" s="5" t="s">
        <v>29</v>
      </c>
    </row>
    <row r="82" spans="1:7" x14ac:dyDescent="0.35">
      <c r="A82" s="9"/>
      <c r="B82" s="4" t="s">
        <v>3</v>
      </c>
      <c r="C82" s="4">
        <v>2379.92</v>
      </c>
      <c r="D82" s="4"/>
      <c r="E82" s="4"/>
      <c r="F82" s="4">
        <f>I2*H3</f>
        <v>900</v>
      </c>
      <c r="G82" s="5" t="s">
        <v>34</v>
      </c>
    </row>
    <row r="83" spans="1:7" x14ac:dyDescent="0.35">
      <c r="A83" s="9"/>
      <c r="B83" s="4" t="s">
        <v>4</v>
      </c>
      <c r="C83" s="4">
        <v>8420</v>
      </c>
      <c r="D83" s="4"/>
      <c r="E83" s="4"/>
      <c r="F83" s="4"/>
      <c r="G83" s="5"/>
    </row>
    <row r="84" spans="1:7" x14ac:dyDescent="0.35">
      <c r="A84" s="9"/>
      <c r="B84" s="4"/>
      <c r="C84" s="4"/>
      <c r="D84" s="4"/>
      <c r="E84" s="4"/>
      <c r="F84" s="4">
        <f>F80+F81+F82</f>
        <v>12700</v>
      </c>
      <c r="G84" s="5" t="s">
        <v>10</v>
      </c>
    </row>
    <row r="85" spans="1:7" ht="15" thickBot="1" x14ac:dyDescent="0.4">
      <c r="A85" s="10"/>
      <c r="B85" s="7"/>
      <c r="C85" s="7"/>
      <c r="D85" s="7"/>
      <c r="E85" s="7"/>
      <c r="F85" s="7">
        <f>F84-D80</f>
        <v>100.07999999999993</v>
      </c>
      <c r="G85" s="8" t="s">
        <v>11</v>
      </c>
    </row>
    <row r="87" spans="1:7" ht="15" thickBot="1" x14ac:dyDescent="0.4"/>
    <row r="88" spans="1:7" x14ac:dyDescent="0.35">
      <c r="A88" s="11">
        <v>46539</v>
      </c>
      <c r="B88" s="1"/>
      <c r="C88" s="1" t="s">
        <v>0</v>
      </c>
      <c r="D88" s="1" t="s">
        <v>1</v>
      </c>
      <c r="E88" s="1"/>
      <c r="F88" s="1" t="s">
        <v>2</v>
      </c>
      <c r="G88" s="2"/>
    </row>
    <row r="89" spans="1:7" x14ac:dyDescent="0.35">
      <c r="A89" s="9"/>
      <c r="B89" s="4" t="s">
        <v>5</v>
      </c>
      <c r="C89" s="4">
        <v>800</v>
      </c>
      <c r="D89" s="4">
        <f>C89+C90+C91+C92+C93</f>
        <v>12599.92</v>
      </c>
      <c r="E89" s="4"/>
      <c r="F89" s="4">
        <v>10000</v>
      </c>
      <c r="G89" s="5" t="s">
        <v>7</v>
      </c>
    </row>
    <row r="90" spans="1:7" x14ac:dyDescent="0.35">
      <c r="A90" s="9"/>
      <c r="B90" s="4" t="s">
        <v>6</v>
      </c>
      <c r="C90" s="4">
        <v>1000</v>
      </c>
      <c r="D90" s="4"/>
      <c r="E90" s="4"/>
      <c r="F90" s="4">
        <f>I2*H2</f>
        <v>3150</v>
      </c>
      <c r="G90" s="5" t="s">
        <v>30</v>
      </c>
    </row>
    <row r="91" spans="1:7" x14ac:dyDescent="0.35">
      <c r="A91" s="9"/>
      <c r="B91" s="4" t="s">
        <v>3</v>
      </c>
      <c r="C91" s="4">
        <v>2379.92</v>
      </c>
      <c r="D91" s="4"/>
      <c r="E91" s="4"/>
      <c r="F91" s="4">
        <f>I2*H3</f>
        <v>900</v>
      </c>
      <c r="G91" s="5" t="s">
        <v>35</v>
      </c>
    </row>
    <row r="92" spans="1:7" x14ac:dyDescent="0.35">
      <c r="A92" s="9"/>
      <c r="B92" s="4" t="s">
        <v>4</v>
      </c>
      <c r="C92" s="4">
        <v>8420</v>
      </c>
      <c r="D92" s="4"/>
      <c r="E92" s="4"/>
      <c r="F92" s="4"/>
      <c r="G92" s="5"/>
    </row>
    <row r="93" spans="1:7" x14ac:dyDescent="0.35">
      <c r="A93" s="9"/>
      <c r="B93" s="4"/>
      <c r="C93" s="4"/>
      <c r="D93" s="4"/>
      <c r="E93" s="4"/>
      <c r="F93" s="4">
        <f>F89+F90+F91</f>
        <v>14050</v>
      </c>
      <c r="G93" s="5" t="s">
        <v>10</v>
      </c>
    </row>
    <row r="94" spans="1:7" ht="15" thickBot="1" x14ac:dyDescent="0.4">
      <c r="A94" s="10"/>
      <c r="B94" s="7"/>
      <c r="C94" s="7"/>
      <c r="D94" s="7"/>
      <c r="E94" s="7"/>
      <c r="F94" s="7">
        <f>F93-D89</f>
        <v>1450.08</v>
      </c>
      <c r="G94" s="8" t="s">
        <v>11</v>
      </c>
    </row>
    <row r="96" spans="1:7" ht="15" thickBot="1" x14ac:dyDescent="0.4"/>
    <row r="97" spans="1:7" x14ac:dyDescent="0.35">
      <c r="A97" s="11">
        <v>46569</v>
      </c>
      <c r="B97" s="1"/>
      <c r="C97" s="1" t="s">
        <v>0</v>
      </c>
      <c r="D97" s="1" t="s">
        <v>1</v>
      </c>
      <c r="E97" s="1"/>
      <c r="F97" s="1" t="s">
        <v>2</v>
      </c>
      <c r="G97" s="2"/>
    </row>
    <row r="98" spans="1:7" x14ac:dyDescent="0.35">
      <c r="A98" s="9"/>
      <c r="B98" s="4" t="s">
        <v>5</v>
      </c>
      <c r="C98" s="4">
        <v>800</v>
      </c>
      <c r="D98" s="4">
        <f>C98+C99+C100+C101+C102</f>
        <v>12599.92</v>
      </c>
      <c r="E98" s="4"/>
      <c r="F98" s="4">
        <v>10000</v>
      </c>
      <c r="G98" s="5" t="s">
        <v>7</v>
      </c>
    </row>
    <row r="99" spans="1:7" x14ac:dyDescent="0.35">
      <c r="A99" s="9"/>
      <c r="B99" s="4" t="s">
        <v>6</v>
      </c>
      <c r="C99" s="4">
        <v>1000</v>
      </c>
      <c r="D99" s="4"/>
      <c r="E99" s="4"/>
      <c r="F99" s="4">
        <f>I2*H4</f>
        <v>2250</v>
      </c>
      <c r="G99" s="5" t="s">
        <v>31</v>
      </c>
    </row>
    <row r="100" spans="1:7" x14ac:dyDescent="0.35">
      <c r="A100" s="9"/>
      <c r="B100" s="4" t="s">
        <v>3</v>
      </c>
      <c r="C100" s="4">
        <v>2379.92</v>
      </c>
      <c r="D100" s="4"/>
      <c r="E100" s="4"/>
      <c r="F100" s="4">
        <f>I2*H3</f>
        <v>900</v>
      </c>
      <c r="G100" s="5" t="s">
        <v>32</v>
      </c>
    </row>
    <row r="101" spans="1:7" x14ac:dyDescent="0.35">
      <c r="A101" s="9"/>
      <c r="B101" s="4" t="s">
        <v>4</v>
      </c>
      <c r="C101" s="4">
        <v>8420</v>
      </c>
      <c r="D101" s="4"/>
      <c r="E101" s="4"/>
      <c r="F101" s="4"/>
      <c r="G101" s="5"/>
    </row>
    <row r="102" spans="1:7" x14ac:dyDescent="0.35">
      <c r="A102" s="9"/>
      <c r="B102" s="4"/>
      <c r="C102" s="4"/>
      <c r="D102" s="4"/>
      <c r="E102" s="4"/>
      <c r="F102" s="4">
        <f>F98+F99+F100</f>
        <v>13150</v>
      </c>
      <c r="G102" s="5" t="s">
        <v>10</v>
      </c>
    </row>
    <row r="103" spans="1:7" ht="15" thickBot="1" x14ac:dyDescent="0.4">
      <c r="A103" s="10"/>
      <c r="B103" s="7"/>
      <c r="C103" s="7"/>
      <c r="D103" s="7"/>
      <c r="E103" s="7"/>
      <c r="F103" s="7">
        <f>F102-D98</f>
        <v>550.07999999999993</v>
      </c>
      <c r="G103" s="8" t="s">
        <v>11</v>
      </c>
    </row>
    <row r="105" spans="1:7" ht="15" thickBot="1" x14ac:dyDescent="0.4"/>
    <row r="106" spans="1:7" x14ac:dyDescent="0.35">
      <c r="A106" s="11">
        <v>46600</v>
      </c>
      <c r="B106" s="1"/>
      <c r="C106" s="1" t="s">
        <v>0</v>
      </c>
      <c r="D106" s="1" t="s">
        <v>1</v>
      </c>
      <c r="E106" s="1"/>
      <c r="F106" s="1" t="s">
        <v>2</v>
      </c>
      <c r="G106" s="2"/>
    </row>
    <row r="107" spans="1:7" x14ac:dyDescent="0.35">
      <c r="A107" s="9"/>
      <c r="B107" s="4" t="s">
        <v>5</v>
      </c>
      <c r="C107" s="4">
        <v>800</v>
      </c>
      <c r="D107" s="4">
        <f>C107+C108+C109+C110+C111</f>
        <v>12599.92</v>
      </c>
      <c r="E107" s="4"/>
      <c r="F107" s="4">
        <v>10000</v>
      </c>
      <c r="G107" s="5" t="s">
        <v>7</v>
      </c>
    </row>
    <row r="108" spans="1:7" x14ac:dyDescent="0.35">
      <c r="A108" s="9"/>
      <c r="B108" s="4" t="s">
        <v>6</v>
      </c>
      <c r="C108" s="4">
        <v>1000</v>
      </c>
      <c r="D108" s="4"/>
      <c r="E108" s="4"/>
      <c r="F108" s="4">
        <f>I2*H5</f>
        <v>2700</v>
      </c>
      <c r="G108" s="5" t="s">
        <v>8</v>
      </c>
    </row>
    <row r="109" spans="1:7" x14ac:dyDescent="0.35">
      <c r="A109" s="9"/>
      <c r="B109" s="4" t="s">
        <v>3</v>
      </c>
      <c r="C109" s="4">
        <v>2379.92</v>
      </c>
      <c r="D109" s="4"/>
      <c r="E109" s="4"/>
      <c r="F109" s="4">
        <f>I2*H3</f>
        <v>900</v>
      </c>
      <c r="G109" s="5" t="s">
        <v>33</v>
      </c>
    </row>
    <row r="110" spans="1:7" x14ac:dyDescent="0.35">
      <c r="A110" s="9"/>
      <c r="B110" s="4" t="s">
        <v>4</v>
      </c>
      <c r="C110" s="4">
        <v>8420</v>
      </c>
      <c r="D110" s="4"/>
      <c r="E110" s="4"/>
      <c r="F110" s="4"/>
      <c r="G110" s="5"/>
    </row>
    <row r="111" spans="1:7" x14ac:dyDescent="0.35">
      <c r="A111" s="9"/>
      <c r="B111" s="4"/>
      <c r="C111" s="4"/>
      <c r="D111" s="4"/>
      <c r="E111" s="4"/>
      <c r="F111" s="4">
        <f>F107+F108+F109</f>
        <v>13600</v>
      </c>
      <c r="G111" s="5" t="s">
        <v>10</v>
      </c>
    </row>
    <row r="112" spans="1:7" ht="15" thickBot="1" x14ac:dyDescent="0.4">
      <c r="A112" s="10"/>
      <c r="B112" s="7"/>
      <c r="C112" s="7"/>
      <c r="D112" s="7"/>
      <c r="E112" s="7"/>
      <c r="F112" s="7">
        <f>F111-D107</f>
        <v>1000.0799999999999</v>
      </c>
      <c r="G112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Methinee Klomnak</dc:creator>
  <cp:lastModifiedBy>Methinee Klomnak</cp:lastModifiedBy>
  <dcterms:created xsi:type="dcterms:W3CDTF">2026-08-08T04:10:15Z</dcterms:created>
  <dcterms:modified xsi:type="dcterms:W3CDTF">2026-08-08T17:46:46Z</dcterms:modified>
</cp:coreProperties>
</file>